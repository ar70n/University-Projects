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<sst xmlns="http://schemas.openxmlformats.org/spreadsheetml/2006/main" count="27" uniqueCount="27">
  <si>
    <t>Numero de multiplicaiones</t>
  </si>
  <si>
    <t>Vectorizado</t>
  </si>
  <si>
    <t>No vecotrizado</t>
  </si>
  <si>
    <t>Rendimiento</t>
  </si>
  <si>
    <t>SIN</t>
  </si>
  <si>
    <t>CON</t>
  </si>
  <si>
    <t>O0</t>
  </si>
  <si>
    <t>O1</t>
  </si>
  <si>
    <t>O2</t>
  </si>
  <si>
    <t>O3</t>
  </si>
  <si>
    <t>Rendimiento medio</t>
  </si>
  <si>
    <t>Tiempos</t>
  </si>
  <si>
    <t>media</t>
  </si>
  <si>
    <t>Resolución</t>
  </si>
  <si>
    <t>Tiempo original</t>
  </si>
  <si>
    <t>Tiempo autovectorizado</t>
  </si>
  <si>
    <t>Tiempo intrinsics</t>
  </si>
  <si>
    <t>FPS original</t>
  </si>
  <si>
    <t>FPS autovectorizado</t>
  </si>
  <si>
    <t>FPS intrinsics</t>
  </si>
  <si>
    <t>Aceleracion autovectorizado</t>
  </si>
  <si>
    <t>Aceleracion intrinsics</t>
  </si>
  <si>
    <t>SD</t>
  </si>
  <si>
    <t>HD</t>
  </si>
  <si>
    <t>FHD</t>
  </si>
  <si>
    <t>4k</t>
  </si>
  <si>
    <t>8k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</si>
</sst>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sz val="11.0"/>
      <color rgb="FF000000"/>
      <name val="Arial"/>
    </font>
    <font>
      <sz val="9.0"/>
      <color rgb="FFF798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Tiempo de ejecucion de simple2_intrinsics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1'!$B$1:$B$10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1'!$C$1:$C$10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1'!$D$1:$D$10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1'!$E$1:$E$10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1'!$F$1:$F$10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1'!$G$1:$G$10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1'!$H$1:$H$10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1'!$I$1:$I$10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1'!$J$1:$J$10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'Hoja 1'!$A$1:$A$10</c:f>
            </c:strRef>
          </c:cat>
          <c:val>
            <c:numRef>
              <c:f>'Hoja 1'!$K$1:$K$10</c:f>
              <c:numCache/>
            </c:numRef>
          </c:val>
          <c:smooth val="0"/>
        </c:ser>
        <c:axId val="438035301"/>
        <c:axId val="710380263"/>
      </c:lineChart>
      <c:catAx>
        <c:axId val="438035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operaciones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380263"/>
      </c:catAx>
      <c:valAx>
        <c:axId val="710380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milisegunods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035301"/>
      </c:valAx>
    </c:plotArea>
    <c:legend>
      <c:legendPos val="tr"/>
      <c:layout>
        <c:manualLayout>
          <c:xMode val="edge"/>
          <c:yMode val="edge"/>
          <c:x val="0.3278580814717478"/>
          <c:y val="0.19938539407086042"/>
        </c:manualLayout>
      </c:layout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Comparación de tiempo entre simple2 y simple2_intrinsics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Código vectorizado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'Hoja 1'!$A$37:$A$46</c:f>
            </c:strRef>
          </c:cat>
          <c:val>
            <c:numRef>
              <c:f>'Hoja 1'!$B$37:$B$46</c:f>
              <c:numCache/>
            </c:numRef>
          </c:val>
          <c:smooth val="0"/>
        </c:ser>
        <c:ser>
          <c:idx val="1"/>
          <c:order val="1"/>
          <c:tx>
            <c:v>Código no vecotrizado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'Hoja 1'!$A$37:$A$46</c:f>
            </c:strRef>
          </c:cat>
          <c:val>
            <c:numRef>
              <c:f>'Hoja 1'!$C$37:$C$46</c:f>
              <c:numCache/>
            </c:numRef>
          </c:val>
          <c:smooth val="0"/>
        </c:ser>
        <c:axId val="916099076"/>
        <c:axId val="2024655623"/>
      </c:lineChart>
      <c:catAx>
        <c:axId val="916099076"/>
        <c:scaling>
          <c:orientation val="minMax"/>
          <c:max val="10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operaciones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655623"/>
      </c:catAx>
      <c:valAx>
        <c:axId val="202465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099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Comparación entre distintos niveles de optimización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Sin vecotrización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1'!$R$42:$R$45</c:f>
            </c:strRef>
          </c:cat>
          <c:val>
            <c:numRef>
              <c:f>'Hoja 1'!$S$42:$S$45</c:f>
              <c:numCache/>
            </c:numRef>
          </c:val>
        </c:ser>
        <c:ser>
          <c:idx val="1"/>
          <c:order val="1"/>
          <c:tx>
            <c:v>Con vecotrización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1'!$R$42:$R$45</c:f>
            </c:strRef>
          </c:cat>
          <c:val>
            <c:numRef>
              <c:f>'Hoja 1'!$T$42:$T$45</c:f>
              <c:numCache/>
            </c:numRef>
          </c:val>
        </c:ser>
        <c:axId val="1737860920"/>
        <c:axId val="1902823396"/>
      </c:barChart>
      <c:catAx>
        <c:axId val="1737860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 de optimización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23396"/>
      </c:catAx>
      <c:valAx>
        <c:axId val="1902823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(s)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860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10</xdr:row>
      <xdr:rowOff>133350</xdr:rowOff>
    </xdr:from>
    <xdr:ext cx="7248525" cy="4391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304800</xdr:colOff>
      <xdr:row>35</xdr:row>
      <xdr:rowOff>104775</xdr:rowOff>
    </xdr:from>
    <xdr:ext cx="69056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571500</xdr:colOff>
      <xdr:row>47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100000.0</v>
      </c>
      <c r="B1" s="2">
        <v>51.395</v>
      </c>
      <c r="C1" s="2">
        <v>52.972</v>
      </c>
      <c r="D1" s="2">
        <v>52.677</v>
      </c>
      <c r="E1" s="2">
        <v>52.737</v>
      </c>
      <c r="F1" s="2">
        <v>51.983000000000004</v>
      </c>
      <c r="G1" s="2">
        <v>57.117000000000004</v>
      </c>
      <c r="H1" s="2">
        <v>52.839999999999996</v>
      </c>
      <c r="I1" s="2">
        <v>55.574</v>
      </c>
      <c r="J1" s="2">
        <v>56.095</v>
      </c>
      <c r="K1" s="2">
        <v>54.641000000000005</v>
      </c>
    </row>
    <row r="2">
      <c r="A2" s="1">
        <v>200000.0</v>
      </c>
      <c r="B2" s="2">
        <v>106.082</v>
      </c>
      <c r="C2" s="2">
        <v>103.33</v>
      </c>
      <c r="D2" s="2">
        <v>105.74600000000001</v>
      </c>
      <c r="E2" s="2">
        <v>104.401</v>
      </c>
      <c r="F2" s="2">
        <v>104.589</v>
      </c>
      <c r="G2" s="2">
        <v>107.904</v>
      </c>
      <c r="H2" s="2">
        <v>105.239</v>
      </c>
      <c r="I2" s="2">
        <v>111.274</v>
      </c>
      <c r="J2" s="2">
        <v>105.992</v>
      </c>
      <c r="K2" s="2">
        <v>107.567</v>
      </c>
      <c r="O2" s="3">
        <v>0.051395</v>
      </c>
      <c r="P2" s="3">
        <v>0.052972</v>
      </c>
      <c r="Q2" s="3">
        <v>0.052677</v>
      </c>
      <c r="R2" s="3">
        <v>0.052737</v>
      </c>
      <c r="S2" s="3">
        <v>0.051983</v>
      </c>
      <c r="T2" s="3">
        <v>0.057117</v>
      </c>
      <c r="U2" s="3">
        <v>0.05284</v>
      </c>
      <c r="V2" s="3">
        <v>0.055574</v>
      </c>
      <c r="W2" s="3">
        <v>0.056095</v>
      </c>
      <c r="X2" s="3">
        <v>0.054641</v>
      </c>
    </row>
    <row r="3">
      <c r="A3" s="1">
        <v>300000.0</v>
      </c>
      <c r="B3" s="2">
        <v>157.613</v>
      </c>
      <c r="C3" s="2">
        <v>157.989</v>
      </c>
      <c r="D3" s="2">
        <v>162.937</v>
      </c>
      <c r="E3" s="2">
        <v>160.621</v>
      </c>
      <c r="F3" s="2">
        <v>159.581</v>
      </c>
      <c r="G3" s="2">
        <v>160.47</v>
      </c>
      <c r="H3" s="2">
        <v>160.131</v>
      </c>
      <c r="I3" s="2">
        <v>170.512</v>
      </c>
      <c r="J3" s="2">
        <v>162.139</v>
      </c>
      <c r="K3" s="2">
        <v>158.37699999999998</v>
      </c>
      <c r="O3" s="3">
        <v>0.106082</v>
      </c>
      <c r="P3" s="3">
        <v>0.10333</v>
      </c>
      <c r="Q3" s="3">
        <v>0.105746</v>
      </c>
      <c r="R3" s="3">
        <v>0.104401</v>
      </c>
      <c r="S3" s="3">
        <v>0.104589</v>
      </c>
      <c r="T3" s="3">
        <v>0.107904</v>
      </c>
      <c r="U3" s="3">
        <v>0.105239</v>
      </c>
      <c r="V3" s="3">
        <v>0.111274</v>
      </c>
      <c r="W3" s="3">
        <v>0.105992</v>
      </c>
      <c r="X3" s="3">
        <v>0.107567</v>
      </c>
    </row>
    <row r="4">
      <c r="A4" s="1">
        <v>400000.0</v>
      </c>
      <c r="B4" s="2">
        <v>220.395</v>
      </c>
      <c r="C4" s="2">
        <v>211.88000000000002</v>
      </c>
      <c r="D4" s="2">
        <v>208.82</v>
      </c>
      <c r="E4" s="2">
        <v>215.678</v>
      </c>
      <c r="F4" s="2">
        <v>207.68900000000002</v>
      </c>
      <c r="G4" s="2">
        <v>212.233</v>
      </c>
      <c r="H4" s="2">
        <v>214.963</v>
      </c>
      <c r="I4" s="2">
        <v>218.683</v>
      </c>
      <c r="J4" s="2">
        <v>212.85299999999998</v>
      </c>
      <c r="K4" s="2">
        <v>206.322</v>
      </c>
      <c r="O4" s="3">
        <v>0.157613</v>
      </c>
      <c r="P4" s="3">
        <v>0.157989</v>
      </c>
      <c r="Q4" s="3">
        <v>0.162937</v>
      </c>
      <c r="R4" s="3">
        <v>0.160621</v>
      </c>
      <c r="S4" s="3">
        <v>0.159581</v>
      </c>
      <c r="T4" s="3">
        <v>0.16047</v>
      </c>
      <c r="U4" s="3">
        <v>0.160131</v>
      </c>
      <c r="V4" s="3">
        <v>0.170512</v>
      </c>
      <c r="W4" s="3">
        <v>0.162139</v>
      </c>
      <c r="X4" s="3">
        <v>0.158377</v>
      </c>
    </row>
    <row r="5">
      <c r="A5" s="1">
        <v>500000.0</v>
      </c>
      <c r="B5" s="2">
        <v>324.678</v>
      </c>
      <c r="C5" s="2">
        <v>262.121</v>
      </c>
      <c r="D5" s="2">
        <v>263.649</v>
      </c>
      <c r="E5" s="2">
        <v>261.789</v>
      </c>
      <c r="F5" s="2">
        <v>261.412</v>
      </c>
      <c r="G5" s="2">
        <v>262.82800000000003</v>
      </c>
      <c r="H5" s="2">
        <v>264.553</v>
      </c>
      <c r="I5" s="2">
        <v>275.038</v>
      </c>
      <c r="J5" s="2">
        <v>264.60499999999996</v>
      </c>
      <c r="K5" s="2">
        <v>263.397</v>
      </c>
      <c r="O5" s="3">
        <v>0.220395</v>
      </c>
      <c r="P5" s="3">
        <v>0.21188</v>
      </c>
      <c r="Q5" s="3">
        <v>0.20882</v>
      </c>
      <c r="R5" s="3">
        <v>0.215678</v>
      </c>
      <c r="S5" s="3">
        <v>0.207689</v>
      </c>
      <c r="T5" s="3">
        <v>0.212233</v>
      </c>
      <c r="U5" s="3">
        <v>0.214963</v>
      </c>
      <c r="V5" s="3">
        <v>0.218683</v>
      </c>
      <c r="W5" s="3">
        <v>0.212853</v>
      </c>
      <c r="X5" s="3">
        <v>0.206322</v>
      </c>
    </row>
    <row r="6">
      <c r="A6" s="1">
        <v>600000.0</v>
      </c>
      <c r="B6" s="2">
        <v>368.279</v>
      </c>
      <c r="C6" s="2">
        <v>312.86</v>
      </c>
      <c r="D6" s="2">
        <v>314.981</v>
      </c>
      <c r="E6" s="2">
        <v>320.749</v>
      </c>
      <c r="F6" s="2">
        <v>313.58799999999997</v>
      </c>
      <c r="G6" s="2">
        <v>316.79400000000004</v>
      </c>
      <c r="H6" s="2">
        <v>321.43300000000005</v>
      </c>
      <c r="I6" s="2">
        <v>399.25300000000004</v>
      </c>
      <c r="J6" s="2">
        <v>321.669</v>
      </c>
      <c r="K6" s="2">
        <v>321.414</v>
      </c>
      <c r="O6" s="3">
        <v>0.324678</v>
      </c>
      <c r="P6" s="3">
        <v>0.262121</v>
      </c>
      <c r="Q6" s="3">
        <v>0.263649</v>
      </c>
      <c r="R6" s="3">
        <v>0.261789</v>
      </c>
      <c r="S6" s="3">
        <v>0.261412</v>
      </c>
      <c r="T6" s="3">
        <v>0.262828</v>
      </c>
      <c r="U6" s="3">
        <v>0.264553</v>
      </c>
      <c r="V6" s="3">
        <v>0.275038</v>
      </c>
      <c r="W6" s="3">
        <v>0.264605</v>
      </c>
      <c r="X6" s="3">
        <v>0.263397</v>
      </c>
    </row>
    <row r="7">
      <c r="A7" s="1">
        <v>700000.0</v>
      </c>
      <c r="B7" s="2">
        <v>375.589</v>
      </c>
      <c r="C7" s="2">
        <v>393.519</v>
      </c>
      <c r="D7" s="2">
        <v>388.98</v>
      </c>
      <c r="E7" s="2">
        <v>373.568</v>
      </c>
      <c r="F7" s="2">
        <v>371.88100000000003</v>
      </c>
      <c r="G7" s="2">
        <v>373.411</v>
      </c>
      <c r="H7" s="2">
        <v>465.546</v>
      </c>
      <c r="I7" s="2">
        <v>374.507</v>
      </c>
      <c r="J7" s="2">
        <v>369.757</v>
      </c>
      <c r="K7" s="2">
        <v>367.027</v>
      </c>
      <c r="O7" s="3">
        <v>0.368279</v>
      </c>
      <c r="P7" s="3">
        <v>0.31286</v>
      </c>
      <c r="Q7" s="3">
        <v>0.314981</v>
      </c>
      <c r="R7" s="3">
        <v>0.320749</v>
      </c>
      <c r="S7" s="3">
        <v>0.313588</v>
      </c>
      <c r="T7" s="3">
        <v>0.316794</v>
      </c>
      <c r="U7" s="3">
        <v>0.321433</v>
      </c>
      <c r="V7" s="3">
        <v>0.399253</v>
      </c>
      <c r="W7" s="3">
        <v>0.321669</v>
      </c>
      <c r="X7" s="3">
        <v>0.321414</v>
      </c>
    </row>
    <row r="8">
      <c r="A8" s="1">
        <v>800000.0</v>
      </c>
      <c r="B8" s="2">
        <v>438.62</v>
      </c>
      <c r="C8" s="2">
        <v>443.681</v>
      </c>
      <c r="D8" s="2">
        <v>434.044</v>
      </c>
      <c r="E8" s="2">
        <v>436.168</v>
      </c>
      <c r="F8" s="2">
        <v>454.33099999999996</v>
      </c>
      <c r="G8" s="2">
        <v>435.608</v>
      </c>
      <c r="H8" s="2">
        <v>465.292</v>
      </c>
      <c r="I8" s="2">
        <v>463.56399999999996</v>
      </c>
      <c r="J8" s="2">
        <v>418.436</v>
      </c>
      <c r="K8" s="2">
        <v>425.18</v>
      </c>
      <c r="O8" s="3">
        <v>0.375589</v>
      </c>
      <c r="P8" s="3">
        <v>0.393519</v>
      </c>
      <c r="Q8" s="3">
        <v>0.38898</v>
      </c>
      <c r="R8" s="3">
        <v>0.373568</v>
      </c>
      <c r="S8" s="3">
        <v>0.371881</v>
      </c>
      <c r="T8" s="3">
        <v>0.373411</v>
      </c>
      <c r="U8" s="3">
        <v>0.465546</v>
      </c>
      <c r="V8" s="3">
        <v>0.374507</v>
      </c>
      <c r="W8" s="3">
        <v>0.369757</v>
      </c>
      <c r="X8" s="3">
        <v>0.367027</v>
      </c>
    </row>
    <row r="9">
      <c r="A9" s="1">
        <v>900000.0</v>
      </c>
      <c r="B9" s="2">
        <v>497.594</v>
      </c>
      <c r="C9" s="2">
        <v>502.766</v>
      </c>
      <c r="D9" s="2">
        <v>499.2</v>
      </c>
      <c r="E9" s="2">
        <v>519.879</v>
      </c>
      <c r="F9" s="2">
        <v>520.091</v>
      </c>
      <c r="G9" s="2">
        <v>499.29699999999997</v>
      </c>
      <c r="H9" s="2">
        <v>478.037</v>
      </c>
      <c r="I9" s="2">
        <v>477.27599999999995</v>
      </c>
      <c r="J9" s="2">
        <v>470.571</v>
      </c>
      <c r="K9" s="2">
        <v>481.678</v>
      </c>
      <c r="O9" s="3">
        <v>0.43862</v>
      </c>
      <c r="P9" s="3">
        <v>0.443681</v>
      </c>
      <c r="Q9" s="3">
        <v>0.434044</v>
      </c>
      <c r="R9" s="3">
        <v>0.436168</v>
      </c>
      <c r="S9" s="3">
        <v>0.454331</v>
      </c>
      <c r="T9" s="3">
        <v>0.435608</v>
      </c>
      <c r="U9" s="3">
        <v>0.465292</v>
      </c>
      <c r="V9" s="3">
        <v>0.463564</v>
      </c>
      <c r="W9" s="3">
        <v>0.418436</v>
      </c>
      <c r="X9" s="3">
        <v>0.42518</v>
      </c>
    </row>
    <row r="10">
      <c r="A10" s="1">
        <v>1000000.0</v>
      </c>
      <c r="B10" s="2">
        <v>573.665</v>
      </c>
      <c r="C10" s="2">
        <v>564.289</v>
      </c>
      <c r="D10" s="2">
        <v>567.918</v>
      </c>
      <c r="E10" s="2">
        <v>578.842</v>
      </c>
      <c r="F10" s="2">
        <v>567.755</v>
      </c>
      <c r="G10" s="2">
        <v>568.272</v>
      </c>
      <c r="H10" s="2">
        <v>551.871</v>
      </c>
      <c r="I10" s="2">
        <v>527.566</v>
      </c>
      <c r="J10" s="2">
        <v>523.924</v>
      </c>
      <c r="K10" s="2">
        <v>585.921</v>
      </c>
      <c r="O10" s="3">
        <v>0.497594</v>
      </c>
      <c r="P10" s="3">
        <v>0.502766</v>
      </c>
      <c r="Q10" s="3">
        <v>0.4992</v>
      </c>
      <c r="R10" s="3">
        <v>0.519879</v>
      </c>
      <c r="S10" s="3">
        <v>0.520091</v>
      </c>
      <c r="T10" s="3">
        <v>0.499297</v>
      </c>
      <c r="U10" s="3">
        <v>0.478037</v>
      </c>
      <c r="V10" s="3">
        <v>0.477276</v>
      </c>
      <c r="W10" s="3">
        <v>0.470571</v>
      </c>
      <c r="X10" s="3">
        <v>0.481678</v>
      </c>
    </row>
    <row r="11">
      <c r="O11" s="3">
        <v>0.573665</v>
      </c>
      <c r="P11" s="3">
        <v>0.564289</v>
      </c>
      <c r="Q11" s="3">
        <v>0.567918</v>
      </c>
      <c r="R11" s="3">
        <v>0.578842</v>
      </c>
      <c r="S11" s="3">
        <v>0.567755</v>
      </c>
      <c r="T11" s="3">
        <v>0.568272</v>
      </c>
      <c r="U11" s="3">
        <v>0.551871</v>
      </c>
      <c r="V11" s="3">
        <v>0.527566</v>
      </c>
      <c r="W11" s="3">
        <v>0.523924</v>
      </c>
      <c r="X11" s="3">
        <v>0.585921</v>
      </c>
    </row>
    <row r="13">
      <c r="O13" s="2">
        <f t="shared" ref="O13:X13" si="1">MULTIPLY(O2,1000)</f>
        <v>51.395</v>
      </c>
      <c r="P13" s="2">
        <f t="shared" si="1"/>
        <v>52.972</v>
      </c>
      <c r="Q13" s="2">
        <f t="shared" si="1"/>
        <v>52.677</v>
      </c>
      <c r="R13" s="2">
        <f t="shared" si="1"/>
        <v>52.737</v>
      </c>
      <c r="S13" s="2">
        <f t="shared" si="1"/>
        <v>51.983</v>
      </c>
      <c r="T13" s="2">
        <f t="shared" si="1"/>
        <v>57.117</v>
      </c>
      <c r="U13" s="2">
        <f t="shared" si="1"/>
        <v>52.84</v>
      </c>
      <c r="V13" s="2">
        <f t="shared" si="1"/>
        <v>55.574</v>
      </c>
      <c r="W13" s="2">
        <f t="shared" si="1"/>
        <v>56.095</v>
      </c>
      <c r="X13" s="2">
        <f t="shared" si="1"/>
        <v>54.641</v>
      </c>
    </row>
    <row r="14">
      <c r="O14" s="2">
        <f t="shared" ref="O14:X14" si="2">MULTIPLY(O3,1000)</f>
        <v>106.082</v>
      </c>
      <c r="P14" s="2">
        <f t="shared" si="2"/>
        <v>103.33</v>
      </c>
      <c r="Q14" s="2">
        <f t="shared" si="2"/>
        <v>105.746</v>
      </c>
      <c r="R14" s="2">
        <f t="shared" si="2"/>
        <v>104.401</v>
      </c>
      <c r="S14" s="2">
        <f t="shared" si="2"/>
        <v>104.589</v>
      </c>
      <c r="T14" s="2">
        <f t="shared" si="2"/>
        <v>107.904</v>
      </c>
      <c r="U14" s="2">
        <f t="shared" si="2"/>
        <v>105.239</v>
      </c>
      <c r="V14" s="2">
        <f t="shared" si="2"/>
        <v>111.274</v>
      </c>
      <c r="W14" s="2">
        <f t="shared" si="2"/>
        <v>105.992</v>
      </c>
      <c r="X14" s="2">
        <f t="shared" si="2"/>
        <v>107.567</v>
      </c>
    </row>
    <row r="15">
      <c r="O15" s="2">
        <f t="shared" ref="O15:X15" si="3">MULTIPLY(O4,1000)</f>
        <v>157.613</v>
      </c>
      <c r="P15" s="2">
        <f t="shared" si="3"/>
        <v>157.989</v>
      </c>
      <c r="Q15" s="2">
        <f t="shared" si="3"/>
        <v>162.937</v>
      </c>
      <c r="R15" s="2">
        <f t="shared" si="3"/>
        <v>160.621</v>
      </c>
      <c r="S15" s="2">
        <f t="shared" si="3"/>
        <v>159.581</v>
      </c>
      <c r="T15" s="2">
        <f t="shared" si="3"/>
        <v>160.47</v>
      </c>
      <c r="U15" s="2">
        <f t="shared" si="3"/>
        <v>160.131</v>
      </c>
      <c r="V15" s="2">
        <f t="shared" si="3"/>
        <v>170.512</v>
      </c>
      <c r="W15" s="2">
        <f t="shared" si="3"/>
        <v>162.139</v>
      </c>
      <c r="X15" s="2">
        <f t="shared" si="3"/>
        <v>158.377</v>
      </c>
    </row>
    <row r="16">
      <c r="O16" s="2">
        <f t="shared" ref="O16:X16" si="4">MULTIPLY(O5,1000)</f>
        <v>220.395</v>
      </c>
      <c r="P16" s="2">
        <f t="shared" si="4"/>
        <v>211.88</v>
      </c>
      <c r="Q16" s="2">
        <f t="shared" si="4"/>
        <v>208.82</v>
      </c>
      <c r="R16" s="2">
        <f t="shared" si="4"/>
        <v>215.678</v>
      </c>
      <c r="S16" s="2">
        <f t="shared" si="4"/>
        <v>207.689</v>
      </c>
      <c r="T16" s="2">
        <f t="shared" si="4"/>
        <v>212.233</v>
      </c>
      <c r="U16" s="2">
        <f t="shared" si="4"/>
        <v>214.963</v>
      </c>
      <c r="V16" s="2">
        <f t="shared" si="4"/>
        <v>218.683</v>
      </c>
      <c r="W16" s="2">
        <f t="shared" si="4"/>
        <v>212.853</v>
      </c>
      <c r="X16" s="2">
        <f t="shared" si="4"/>
        <v>206.322</v>
      </c>
    </row>
    <row r="17">
      <c r="O17" s="2">
        <f t="shared" ref="O17:X17" si="5">MULTIPLY(O6,1000)</f>
        <v>324.678</v>
      </c>
      <c r="P17" s="2">
        <f t="shared" si="5"/>
        <v>262.121</v>
      </c>
      <c r="Q17" s="2">
        <f t="shared" si="5"/>
        <v>263.649</v>
      </c>
      <c r="R17" s="2">
        <f t="shared" si="5"/>
        <v>261.789</v>
      </c>
      <c r="S17" s="2">
        <f t="shared" si="5"/>
        <v>261.412</v>
      </c>
      <c r="T17" s="2">
        <f t="shared" si="5"/>
        <v>262.828</v>
      </c>
      <c r="U17" s="2">
        <f t="shared" si="5"/>
        <v>264.553</v>
      </c>
      <c r="V17" s="2">
        <f t="shared" si="5"/>
        <v>275.038</v>
      </c>
      <c r="W17" s="2">
        <f t="shared" si="5"/>
        <v>264.605</v>
      </c>
      <c r="X17" s="2">
        <f t="shared" si="5"/>
        <v>263.397</v>
      </c>
    </row>
    <row r="18">
      <c r="O18" s="2">
        <f t="shared" ref="O18:X18" si="6">MULTIPLY(O7,1000)</f>
        <v>368.279</v>
      </c>
      <c r="P18" s="2">
        <f t="shared" si="6"/>
        <v>312.86</v>
      </c>
      <c r="Q18" s="2">
        <f t="shared" si="6"/>
        <v>314.981</v>
      </c>
      <c r="R18" s="2">
        <f t="shared" si="6"/>
        <v>320.749</v>
      </c>
      <c r="S18" s="2">
        <f t="shared" si="6"/>
        <v>313.588</v>
      </c>
      <c r="T18" s="2">
        <f t="shared" si="6"/>
        <v>316.794</v>
      </c>
      <c r="U18" s="2">
        <f t="shared" si="6"/>
        <v>321.433</v>
      </c>
      <c r="V18" s="2">
        <f t="shared" si="6"/>
        <v>399.253</v>
      </c>
      <c r="W18" s="2">
        <f t="shared" si="6"/>
        <v>321.669</v>
      </c>
      <c r="X18" s="2">
        <f t="shared" si="6"/>
        <v>321.414</v>
      </c>
    </row>
    <row r="19">
      <c r="O19" s="2">
        <f t="shared" ref="O19:X19" si="7">MULTIPLY(O8,1000)</f>
        <v>375.589</v>
      </c>
      <c r="P19" s="2">
        <f t="shared" si="7"/>
        <v>393.519</v>
      </c>
      <c r="Q19" s="2">
        <f t="shared" si="7"/>
        <v>388.98</v>
      </c>
      <c r="R19" s="2">
        <f t="shared" si="7"/>
        <v>373.568</v>
      </c>
      <c r="S19" s="2">
        <f t="shared" si="7"/>
        <v>371.881</v>
      </c>
      <c r="T19" s="2">
        <f t="shared" si="7"/>
        <v>373.411</v>
      </c>
      <c r="U19" s="2">
        <f t="shared" si="7"/>
        <v>465.546</v>
      </c>
      <c r="V19" s="2">
        <f t="shared" si="7"/>
        <v>374.507</v>
      </c>
      <c r="W19" s="2">
        <f t="shared" si="7"/>
        <v>369.757</v>
      </c>
      <c r="X19" s="2">
        <f t="shared" si="7"/>
        <v>367.027</v>
      </c>
    </row>
    <row r="20">
      <c r="O20" s="2">
        <f t="shared" ref="O20:X20" si="8">MULTIPLY(O9,1000)</f>
        <v>438.62</v>
      </c>
      <c r="P20" s="2">
        <f t="shared" si="8"/>
        <v>443.681</v>
      </c>
      <c r="Q20" s="2">
        <f t="shared" si="8"/>
        <v>434.044</v>
      </c>
      <c r="R20" s="2">
        <f t="shared" si="8"/>
        <v>436.168</v>
      </c>
      <c r="S20" s="2">
        <f t="shared" si="8"/>
        <v>454.331</v>
      </c>
      <c r="T20" s="2">
        <f t="shared" si="8"/>
        <v>435.608</v>
      </c>
      <c r="U20" s="2">
        <f t="shared" si="8"/>
        <v>465.292</v>
      </c>
      <c r="V20" s="2">
        <f t="shared" si="8"/>
        <v>463.564</v>
      </c>
      <c r="W20" s="2">
        <f t="shared" si="8"/>
        <v>418.436</v>
      </c>
      <c r="X20" s="2">
        <f t="shared" si="8"/>
        <v>425.18</v>
      </c>
    </row>
    <row r="21">
      <c r="O21" s="2">
        <f t="shared" ref="O21:X21" si="9">MULTIPLY(O10,1000)</f>
        <v>497.594</v>
      </c>
      <c r="P21" s="2">
        <f t="shared" si="9"/>
        <v>502.766</v>
      </c>
      <c r="Q21" s="2">
        <f t="shared" si="9"/>
        <v>499.2</v>
      </c>
      <c r="R21" s="2">
        <f t="shared" si="9"/>
        <v>519.879</v>
      </c>
      <c r="S21" s="2">
        <f t="shared" si="9"/>
        <v>520.091</v>
      </c>
      <c r="T21" s="2">
        <f t="shared" si="9"/>
        <v>499.297</v>
      </c>
      <c r="U21" s="2">
        <f t="shared" si="9"/>
        <v>478.037</v>
      </c>
      <c r="V21" s="2">
        <f t="shared" si="9"/>
        <v>477.276</v>
      </c>
      <c r="W21" s="2">
        <f t="shared" si="9"/>
        <v>470.571</v>
      </c>
      <c r="X21" s="2">
        <f t="shared" si="9"/>
        <v>481.678</v>
      </c>
    </row>
    <row r="22">
      <c r="O22" s="2">
        <f t="shared" ref="O22:X22" si="10">MULTIPLY(O11,1000)</f>
        <v>573.665</v>
      </c>
      <c r="P22" s="2">
        <f t="shared" si="10"/>
        <v>564.289</v>
      </c>
      <c r="Q22" s="2">
        <f t="shared" si="10"/>
        <v>567.918</v>
      </c>
      <c r="R22" s="2">
        <f t="shared" si="10"/>
        <v>578.842</v>
      </c>
      <c r="S22" s="2">
        <f t="shared" si="10"/>
        <v>567.755</v>
      </c>
      <c r="T22" s="2">
        <f t="shared" si="10"/>
        <v>568.272</v>
      </c>
      <c r="U22" s="2">
        <f t="shared" si="10"/>
        <v>551.871</v>
      </c>
      <c r="V22" s="2">
        <f t="shared" si="10"/>
        <v>527.566</v>
      </c>
      <c r="W22" s="2">
        <f t="shared" si="10"/>
        <v>523.924</v>
      </c>
      <c r="X22" s="2">
        <f t="shared" si="10"/>
        <v>585.921</v>
      </c>
    </row>
    <row r="36">
      <c r="A36" s="3" t="s">
        <v>0</v>
      </c>
      <c r="B36" s="3" t="s">
        <v>1</v>
      </c>
      <c r="C36" s="3" t="s">
        <v>2</v>
      </c>
      <c r="D36" s="3" t="s">
        <v>3</v>
      </c>
    </row>
    <row r="37">
      <c r="A37" s="1">
        <v>100000.0</v>
      </c>
      <c r="B37" s="4">
        <v>53.8031</v>
      </c>
      <c r="C37" s="4">
        <v>233.1932</v>
      </c>
      <c r="D37" s="5">
        <f t="shared" ref="D37:D46" si="11">DIVIDE(C37,B37)</f>
        <v>4.334196357</v>
      </c>
    </row>
    <row r="38">
      <c r="A38" s="1">
        <v>200000.0</v>
      </c>
      <c r="B38" s="4">
        <v>106.2124</v>
      </c>
      <c r="C38" s="4">
        <v>451.76480000000004</v>
      </c>
      <c r="D38" s="5">
        <f t="shared" si="11"/>
        <v>4.253409206</v>
      </c>
      <c r="M38" s="4">
        <v>0.0538031</v>
      </c>
      <c r="N38" s="4">
        <v>0.2331932</v>
      </c>
    </row>
    <row r="39">
      <c r="A39" s="1">
        <v>300000.0</v>
      </c>
      <c r="B39" s="4">
        <v>161.037</v>
      </c>
      <c r="C39" s="4">
        <v>679.0629</v>
      </c>
      <c r="D39" s="5">
        <f t="shared" si="11"/>
        <v>4.216812906</v>
      </c>
      <c r="M39" s="4">
        <v>0.1062124</v>
      </c>
      <c r="N39" s="4">
        <v>0.4517648</v>
      </c>
    </row>
    <row r="40">
      <c r="A40" s="1">
        <v>400000.0</v>
      </c>
      <c r="B40" s="4">
        <v>212.95159999999998</v>
      </c>
      <c r="C40" s="4">
        <v>963.5232</v>
      </c>
      <c r="D40" s="5">
        <f t="shared" si="11"/>
        <v>4.524611226</v>
      </c>
      <c r="M40" s="4">
        <v>0.161037</v>
      </c>
      <c r="N40" s="4">
        <v>0.6790629</v>
      </c>
    </row>
    <row r="41">
      <c r="A41" s="1">
        <v>500000.0</v>
      </c>
      <c r="B41" s="4">
        <v>270.406999999999</v>
      </c>
      <c r="C41" s="4">
        <v>1182.5191</v>
      </c>
      <c r="D41" s="5">
        <f t="shared" si="11"/>
        <v>4.373108315</v>
      </c>
      <c r="M41" s="4">
        <v>0.2129516</v>
      </c>
      <c r="N41" s="4">
        <v>0.9635232</v>
      </c>
      <c r="S41" s="3" t="s">
        <v>4</v>
      </c>
      <c r="T41" s="3" t="s">
        <v>5</v>
      </c>
    </row>
    <row r="42">
      <c r="A42" s="1">
        <v>600000.0</v>
      </c>
      <c r="B42" s="4">
        <v>331.10200000000003</v>
      </c>
      <c r="C42" s="4">
        <v>1425.0019</v>
      </c>
      <c r="D42" s="5">
        <f t="shared" si="11"/>
        <v>4.303815441</v>
      </c>
      <c r="M42" s="4">
        <v>0.270406999999999</v>
      </c>
      <c r="N42" s="4">
        <v>1.1825191</v>
      </c>
      <c r="R42" s="3" t="s">
        <v>6</v>
      </c>
      <c r="S42" s="6">
        <v>4.6892349</v>
      </c>
      <c r="T42" s="6">
        <v>4.8035529</v>
      </c>
    </row>
    <row r="43">
      <c r="A43" s="1">
        <v>700000.0</v>
      </c>
      <c r="B43" s="4">
        <v>385.37850000000003</v>
      </c>
      <c r="C43" s="4">
        <v>1644.866</v>
      </c>
      <c r="D43" s="5">
        <f t="shared" si="11"/>
        <v>4.268183098</v>
      </c>
      <c r="M43" s="4">
        <v>0.331102</v>
      </c>
      <c r="N43" s="4">
        <v>1.4250019</v>
      </c>
      <c r="R43" s="3" t="s">
        <v>7</v>
      </c>
      <c r="S43" s="6">
        <v>2.1806939</v>
      </c>
      <c r="T43" s="6">
        <v>2.2145817</v>
      </c>
    </row>
    <row r="44">
      <c r="A44" s="1">
        <v>800000.0</v>
      </c>
      <c r="B44" s="4">
        <v>441.49240000000003</v>
      </c>
      <c r="C44" s="4">
        <v>1889.3102</v>
      </c>
      <c r="D44" s="5">
        <f t="shared" si="11"/>
        <v>4.279371967</v>
      </c>
      <c r="M44" s="4">
        <v>0.3853785</v>
      </c>
      <c r="N44" s="4">
        <v>1.644866</v>
      </c>
      <c r="R44" s="3" t="s">
        <v>8</v>
      </c>
      <c r="S44" s="6">
        <v>2.2280631</v>
      </c>
      <c r="T44" s="6">
        <v>2.2044695</v>
      </c>
    </row>
    <row r="45">
      <c r="A45" s="1">
        <v>900000.0</v>
      </c>
      <c r="B45" s="4">
        <v>494.6389</v>
      </c>
      <c r="C45" s="4">
        <v>2105.5573999999997</v>
      </c>
      <c r="D45" s="5">
        <f t="shared" si="11"/>
        <v>4.256756596</v>
      </c>
      <c r="M45" s="4">
        <v>0.4414924</v>
      </c>
      <c r="N45" s="4">
        <v>1.8893102</v>
      </c>
      <c r="R45" s="3" t="s">
        <v>9</v>
      </c>
      <c r="S45" s="6">
        <v>2.2163614</v>
      </c>
      <c r="T45" s="6">
        <v>2.1830953</v>
      </c>
    </row>
    <row r="46">
      <c r="A46" s="1">
        <v>1000000.0</v>
      </c>
      <c r="B46" s="4">
        <v>561.0023</v>
      </c>
      <c r="C46" s="4">
        <v>2294.8243</v>
      </c>
      <c r="D46" s="5">
        <f t="shared" si="11"/>
        <v>4.09057913</v>
      </c>
      <c r="M46" s="4">
        <v>0.4946389</v>
      </c>
      <c r="N46" s="4">
        <v>2.1055574</v>
      </c>
    </row>
    <row r="47">
      <c r="M47" s="4">
        <v>0.5610023</v>
      </c>
      <c r="N47" s="4">
        <v>2.2948243</v>
      </c>
    </row>
    <row r="48">
      <c r="C48" s="3" t="s">
        <v>10</v>
      </c>
      <c r="D48" s="7">
        <f>AVERAGEA(D37:D46)</f>
        <v>4.290084424</v>
      </c>
    </row>
    <row r="49">
      <c r="M49" s="4">
        <f t="shared" ref="M49:N49" si="12">MULTIPLY(M38,1000)</f>
        <v>53.8031</v>
      </c>
      <c r="N49" s="4">
        <f t="shared" si="12"/>
        <v>233.1932</v>
      </c>
    </row>
    <row r="50">
      <c r="M50" s="4">
        <f t="shared" ref="M50:N50" si="13">MULTIPLY(M39,1000)</f>
        <v>106.2124</v>
      </c>
      <c r="N50" s="4">
        <f t="shared" si="13"/>
        <v>451.7648</v>
      </c>
    </row>
    <row r="51">
      <c r="M51" s="4">
        <f t="shared" ref="M51:N51" si="14">MULTIPLY(M40,1000)</f>
        <v>161.037</v>
      </c>
      <c r="N51" s="4">
        <f t="shared" si="14"/>
        <v>679.0629</v>
      </c>
    </row>
    <row r="52">
      <c r="C52" s="3" t="s">
        <v>11</v>
      </c>
      <c r="M52" s="4">
        <f t="shared" ref="M52:N52" si="15">MULTIPLY(M41,1000)</f>
        <v>212.9516</v>
      </c>
      <c r="N52" s="4">
        <f t="shared" si="15"/>
        <v>963.5232</v>
      </c>
    </row>
    <row r="53">
      <c r="C53" s="8">
        <v>2.039737</v>
      </c>
      <c r="M53" s="4">
        <f t="shared" ref="M53:N53" si="16">MULTIPLY(M42,1000)</f>
        <v>270.407</v>
      </c>
      <c r="N53" s="4">
        <f t="shared" si="16"/>
        <v>1182.5191</v>
      </c>
    </row>
    <row r="54">
      <c r="C54" s="8">
        <v>2.195271</v>
      </c>
      <c r="M54" s="4">
        <f t="shared" ref="M54:N54" si="17">MULTIPLY(M43,1000)</f>
        <v>331.102</v>
      </c>
      <c r="N54" s="4">
        <f t="shared" si="17"/>
        <v>1425.0019</v>
      </c>
    </row>
    <row r="55">
      <c r="C55" s="8">
        <v>2.201746</v>
      </c>
      <c r="M55" s="4">
        <f t="shared" ref="M55:N55" si="18">MULTIPLY(M44,1000)</f>
        <v>385.3785</v>
      </c>
      <c r="N55" s="4">
        <f t="shared" si="18"/>
        <v>1644.866</v>
      </c>
    </row>
    <row r="56">
      <c r="C56" s="8">
        <v>2.19556</v>
      </c>
      <c r="M56" s="4">
        <f t="shared" ref="M56:N56" si="19">MULTIPLY(M45,1000)</f>
        <v>441.4924</v>
      </c>
      <c r="N56" s="4">
        <f t="shared" si="19"/>
        <v>1889.3102</v>
      </c>
    </row>
    <row r="57">
      <c r="C57" s="8">
        <v>2.196449</v>
      </c>
      <c r="M57" s="4">
        <f t="shared" ref="M57:N57" si="20">MULTIPLY(M46,1000)</f>
        <v>494.6389</v>
      </c>
      <c r="N57" s="4">
        <f t="shared" si="20"/>
        <v>2105.5574</v>
      </c>
    </row>
    <row r="58">
      <c r="C58" s="8">
        <v>2.214125</v>
      </c>
      <c r="M58" s="4">
        <f t="shared" ref="M58:N58" si="21">MULTIPLY(M47,1000)</f>
        <v>561.0023</v>
      </c>
      <c r="N58" s="4">
        <f t="shared" si="21"/>
        <v>2294.8243</v>
      </c>
    </row>
    <row r="59">
      <c r="C59" s="8">
        <v>2.194335</v>
      </c>
      <c r="M59" s="2"/>
    </row>
    <row r="60">
      <c r="C60" s="8">
        <v>2.197143</v>
      </c>
      <c r="M60" s="2"/>
    </row>
    <row r="61">
      <c r="C61" s="8">
        <v>2.192518</v>
      </c>
      <c r="M61" s="2"/>
    </row>
    <row r="62">
      <c r="C62" s="8">
        <v>2.204069</v>
      </c>
      <c r="M62" s="2"/>
    </row>
    <row r="63">
      <c r="M63" s="2"/>
    </row>
    <row r="64">
      <c r="B64" s="3" t="s">
        <v>12</v>
      </c>
      <c r="C64" s="9">
        <f>AVERAGEA(C53:C62)</f>
        <v>2.1830953</v>
      </c>
      <c r="M64" s="2"/>
    </row>
    <row r="73">
      <c r="C73" s="3" t="s">
        <v>13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C74" s="3" t="s">
        <v>22</v>
      </c>
      <c r="D74" s="3">
        <v>2.779</v>
      </c>
      <c r="E74" s="3">
        <v>1.96139999999999</v>
      </c>
      <c r="F74" s="3">
        <v>1.9428</v>
      </c>
      <c r="G74" s="10">
        <f t="shared" ref="G74:I74" si="22">(1000/D74)</f>
        <v>359.8416697</v>
      </c>
      <c r="H74" s="10">
        <f t="shared" si="22"/>
        <v>509.8399103</v>
      </c>
      <c r="I74" s="10">
        <f t="shared" si="22"/>
        <v>514.7210212</v>
      </c>
      <c r="J74" s="10">
        <f t="shared" ref="J74:J78" si="24">(D74/E74)</f>
        <v>1.416845111</v>
      </c>
      <c r="K74" s="10">
        <f t="shared" ref="K74:K78" si="25">(D74/F74)</f>
        <v>1.430409718</v>
      </c>
    </row>
    <row r="75">
      <c r="C75" s="3" t="s">
        <v>23</v>
      </c>
      <c r="D75" s="3">
        <v>9.3974</v>
      </c>
      <c r="E75" s="3">
        <v>8.192</v>
      </c>
      <c r="F75" s="3">
        <v>7.44159999999999</v>
      </c>
      <c r="G75" s="10">
        <f t="shared" ref="G75:I75" si="23">(1000/D75)</f>
        <v>106.4124119</v>
      </c>
      <c r="H75" s="10">
        <f t="shared" si="23"/>
        <v>122.0703125</v>
      </c>
      <c r="I75" s="10">
        <f t="shared" si="23"/>
        <v>134.3797033</v>
      </c>
      <c r="J75" s="10">
        <f t="shared" si="24"/>
        <v>1.147143555</v>
      </c>
      <c r="K75" s="10">
        <f t="shared" si="25"/>
        <v>1.262819824</v>
      </c>
    </row>
    <row r="76">
      <c r="C76" s="3" t="s">
        <v>24</v>
      </c>
      <c r="D76" s="3">
        <v>19.6168</v>
      </c>
      <c r="E76" s="3">
        <v>16.2458</v>
      </c>
      <c r="F76" s="3">
        <v>15.3739999999999</v>
      </c>
      <c r="G76" s="10">
        <f t="shared" ref="G76:I76" si="26">(1000/D76)</f>
        <v>50.97671384</v>
      </c>
      <c r="H76" s="10">
        <f t="shared" si="26"/>
        <v>61.55437098</v>
      </c>
      <c r="I76" s="10">
        <f t="shared" si="26"/>
        <v>65.04488097</v>
      </c>
      <c r="J76" s="10">
        <f t="shared" si="24"/>
        <v>1.207499785</v>
      </c>
      <c r="K76" s="10">
        <f t="shared" si="25"/>
        <v>1.275972421</v>
      </c>
    </row>
    <row r="77">
      <c r="C77" s="3" t="s">
        <v>25</v>
      </c>
      <c r="D77" s="3">
        <v>88.6184</v>
      </c>
      <c r="E77" s="3">
        <v>56.7443999999999</v>
      </c>
      <c r="F77" s="3">
        <v>54.029</v>
      </c>
      <c r="G77" s="10">
        <f t="shared" ref="G77:I77" si="27">(1000/D77)</f>
        <v>11.28433824</v>
      </c>
      <c r="H77" s="10">
        <f t="shared" si="27"/>
        <v>17.62288437</v>
      </c>
      <c r="I77" s="10">
        <f t="shared" si="27"/>
        <v>18.50857873</v>
      </c>
      <c r="J77" s="10">
        <f t="shared" si="24"/>
        <v>1.561711816</v>
      </c>
      <c r="K77" s="10">
        <f t="shared" si="25"/>
        <v>1.640200633</v>
      </c>
    </row>
    <row r="78">
      <c r="C78" s="3" t="s">
        <v>26</v>
      </c>
      <c r="D78" s="3">
        <v>852.633999999999</v>
      </c>
      <c r="E78" s="3">
        <v>227.4534</v>
      </c>
      <c r="F78" s="3">
        <v>208.7356</v>
      </c>
      <c r="G78" s="10">
        <f t="shared" ref="G78:I78" si="28">(1000/D78)</f>
        <v>1.172836176</v>
      </c>
      <c r="H78" s="10">
        <f t="shared" si="28"/>
        <v>4.396504954</v>
      </c>
      <c r="I78" s="10">
        <f t="shared" si="28"/>
        <v>4.790749637</v>
      </c>
      <c r="J78" s="10">
        <f t="shared" si="24"/>
        <v>3.748609605</v>
      </c>
      <c r="K78" s="10">
        <f t="shared" si="25"/>
        <v>4.084756026</v>
      </c>
    </row>
  </sheetData>
  <drawing r:id="rId1"/>
</worksheet>
</file>